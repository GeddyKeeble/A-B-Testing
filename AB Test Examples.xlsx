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3e4ad371df298/Projects/PythonScripts/"/>
    </mc:Choice>
  </mc:AlternateContent>
  <xr:revisionPtr revIDLastSave="87" documentId="8_{A4D54ACB-2289-4F06-9D63-C698DEBF148F}" xr6:coauthVersionLast="47" xr6:coauthVersionMax="47" xr10:uidLastSave="{937D6456-67BB-4888-96B2-2C99CB6AAFA7}"/>
  <bookViews>
    <workbookView xWindow="-108" yWindow="-108" windowWidth="30936" windowHeight="16776" xr2:uid="{EDAFDB7B-D585-470F-9FE4-F9C0753EFB92}"/>
  </bookViews>
  <sheets>
    <sheet name="Two-Tailed" sheetId="1" r:id="rId1"/>
    <sheet name="One-Tailed" sheetId="2" r:id="rId2"/>
    <sheet name="T-Te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11" i="4"/>
  <c r="B8" i="4"/>
  <c r="B9" i="4" s="1"/>
  <c r="C5" i="4"/>
  <c r="B5" i="4"/>
  <c r="D3" i="4"/>
  <c r="D2" i="4"/>
  <c r="C4" i="2"/>
  <c r="B4" i="2"/>
  <c r="D3" i="2"/>
  <c r="D2" i="2"/>
  <c r="B10" i="1"/>
  <c r="B9" i="1"/>
  <c r="B8" i="1"/>
  <c r="B7" i="1"/>
  <c r="B6" i="1"/>
  <c r="D4" i="1"/>
  <c r="D3" i="1"/>
  <c r="D2" i="1"/>
  <c r="C4" i="1"/>
  <c r="B4" i="1"/>
  <c r="B10" i="4" l="1"/>
  <c r="B12" i="4" s="1"/>
  <c r="D5" i="4"/>
  <c r="D4" i="2"/>
  <c r="B7" i="2" s="1"/>
  <c r="B6" i="2"/>
  <c r="B13" i="4" l="1"/>
  <c r="B8" i="2"/>
  <c r="B9" i="2" s="1"/>
  <c r="B10" i="2" s="1"/>
</calcChain>
</file>

<file path=xl/sharedStrings.xml><?xml version="1.0" encoding="utf-8"?>
<sst xmlns="http://schemas.openxmlformats.org/spreadsheetml/2006/main" count="42" uniqueCount="20">
  <si>
    <t>Input Data</t>
  </si>
  <si>
    <t>A</t>
  </si>
  <si>
    <t>B</t>
  </si>
  <si>
    <t>Sample Size</t>
  </si>
  <si>
    <t>Successes</t>
  </si>
  <si>
    <t>Proportion</t>
  </si>
  <si>
    <t>Signifigance Level</t>
  </si>
  <si>
    <t>Total</t>
  </si>
  <si>
    <t>Difference</t>
  </si>
  <si>
    <t>Pooled Standard Error</t>
  </si>
  <si>
    <t>Z-Score</t>
  </si>
  <si>
    <t>P-Value (Two-Tailed)</t>
  </si>
  <si>
    <t>Decision</t>
  </si>
  <si>
    <t>P-Value (One-Tailed)</t>
  </si>
  <si>
    <t>Average Revenue</t>
  </si>
  <si>
    <t>Standard Deviation</t>
  </si>
  <si>
    <t>T-Score</t>
  </si>
  <si>
    <t>Squared Standard Error</t>
  </si>
  <si>
    <t>Standard Error of Difference</t>
  </si>
  <si>
    <t>Degrees of Freedom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</si>
</sst>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1" applyNumberFormat="1" applyFont="1"/>
    <xf numFmtId="10" fontId="0" fillId="0" borderId="0" xfId="0" applyNumberFormat="1"/>
    <xf numFmtId="166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D943F-EB57-447F-8241-8207DD5835C1}">
  <dimension ref="A1:G10"/>
  <sheetViews>
    <sheetView tabSelected="1" workbookViewId="0">
      <selection activeCell="B2" sqref="B2:C3"/>
    </sheetView>
  </sheetViews>
  <sheetFormatPr defaultRowHeight="14.4" x14ac:dyDescent="0.3"/>
  <cols>
    <col min="1" max="1" width="18.6640625" bestFit="1" customWidth="1"/>
    <col min="2" max="2" width="20.332031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G1" t="s">
        <v>6</v>
      </c>
    </row>
    <row r="2" spans="1:7" x14ac:dyDescent="0.3">
      <c r="A2" t="s">
        <v>3</v>
      </c>
      <c r="B2">
        <v>5000</v>
      </c>
      <c r="C2">
        <v>5000</v>
      </c>
      <c r="D2">
        <f>B2+C2</f>
        <v>10000</v>
      </c>
      <c r="G2">
        <v>0.05</v>
      </c>
    </row>
    <row r="3" spans="1:7" x14ac:dyDescent="0.3">
      <c r="A3" t="s">
        <v>4</v>
      </c>
      <c r="B3">
        <v>500</v>
      </c>
      <c r="C3">
        <v>560</v>
      </c>
      <c r="D3">
        <f>B3+C3</f>
        <v>1060</v>
      </c>
    </row>
    <row r="4" spans="1:7" x14ac:dyDescent="0.3">
      <c r="A4" t="s">
        <v>5</v>
      </c>
      <c r="B4" s="1">
        <f>B3/B2</f>
        <v>0.1</v>
      </c>
      <c r="C4" s="1">
        <f>C3/C2</f>
        <v>0.112</v>
      </c>
      <c r="D4" s="1">
        <f>D3/D2</f>
        <v>0.106</v>
      </c>
    </row>
    <row r="6" spans="1:7" x14ac:dyDescent="0.3">
      <c r="A6" t="s">
        <v>8</v>
      </c>
      <c r="B6" s="2">
        <f>C4-B4</f>
        <v>1.1999999999999997E-2</v>
      </c>
    </row>
    <row r="7" spans="1:7" x14ac:dyDescent="0.3">
      <c r="A7" t="s">
        <v>9</v>
      </c>
      <c r="B7" s="3">
        <f>SQRT(D4*(1-D4) *((1/B2)+(1/C2)))</f>
        <v>6.1567523906683142E-3</v>
      </c>
    </row>
    <row r="8" spans="1:7" x14ac:dyDescent="0.3">
      <c r="A8" t="s">
        <v>10</v>
      </c>
      <c r="B8" s="4">
        <f>B6/B7</f>
        <v>1.9490795209156364</v>
      </c>
    </row>
    <row r="9" spans="1:7" x14ac:dyDescent="0.3">
      <c r="A9" t="s">
        <v>11</v>
      </c>
      <c r="B9">
        <f>2*(1-_xlfn.NORM.S.DIST(B8,TRUE))</f>
        <v>5.1285928909989176E-2</v>
      </c>
    </row>
    <row r="10" spans="1:7" x14ac:dyDescent="0.3">
      <c r="A10" t="s">
        <v>12</v>
      </c>
      <c r="B10" t="str">
        <f xml:space="preserve"> IF(A9 &lt;= G2, "REJECT H0 (Significant)", "FAIL TO REJECT H0 (Not Significant)")</f>
        <v>FAIL TO REJECT H0 (Not Significant)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1FA9-03DE-40B6-AEEB-60224FF6D55C}">
  <dimension ref="A1:G10"/>
  <sheetViews>
    <sheetView workbookViewId="0">
      <selection activeCell="H19" sqref="H19"/>
    </sheetView>
  </sheetViews>
  <sheetFormatPr defaultRowHeight="14.4" x14ac:dyDescent="0.3"/>
  <cols>
    <col min="1" max="1" width="18.6640625" bestFit="1" customWidth="1"/>
    <col min="2" max="2" width="20.3320312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G1" t="s">
        <v>6</v>
      </c>
    </row>
    <row r="2" spans="1:7" x14ac:dyDescent="0.3">
      <c r="A2" t="s">
        <v>3</v>
      </c>
      <c r="B2">
        <v>10000</v>
      </c>
      <c r="C2">
        <v>10000</v>
      </c>
      <c r="D2">
        <f>B2+C2</f>
        <v>20000</v>
      </c>
      <c r="G2">
        <v>0.05</v>
      </c>
    </row>
    <row r="3" spans="1:7" x14ac:dyDescent="0.3">
      <c r="A3" t="s">
        <v>4</v>
      </c>
      <c r="B3">
        <v>800</v>
      </c>
      <c r="C3">
        <v>1050</v>
      </c>
      <c r="D3">
        <f>B3+C3</f>
        <v>1850</v>
      </c>
    </row>
    <row r="4" spans="1:7" x14ac:dyDescent="0.3">
      <c r="A4" t="s">
        <v>5</v>
      </c>
      <c r="B4" s="1">
        <f>B3/B2</f>
        <v>0.08</v>
      </c>
      <c r="C4" s="1">
        <f>C3/C2</f>
        <v>0.105</v>
      </c>
      <c r="D4" s="1">
        <f>D3/D2</f>
        <v>9.2499999999999999E-2</v>
      </c>
    </row>
    <row r="6" spans="1:7" x14ac:dyDescent="0.3">
      <c r="A6" t="s">
        <v>8</v>
      </c>
      <c r="B6" s="2">
        <f>C4-B4</f>
        <v>2.4999999999999994E-2</v>
      </c>
    </row>
    <row r="7" spans="1:7" x14ac:dyDescent="0.3">
      <c r="A7" t="s">
        <v>9</v>
      </c>
      <c r="B7" s="3">
        <f>SQRT(D4*(1-D4) *((1/B2)+(1/C2)))</f>
        <v>4.0974077170816189E-3</v>
      </c>
    </row>
    <row r="8" spans="1:7" x14ac:dyDescent="0.3">
      <c r="A8" t="s">
        <v>10</v>
      </c>
      <c r="B8" s="4">
        <f>B6/B7</f>
        <v>6.1014186837638551</v>
      </c>
    </row>
    <row r="9" spans="1:7" x14ac:dyDescent="0.3">
      <c r="A9" t="s">
        <v>13</v>
      </c>
      <c r="B9">
        <f>(1-_xlfn.NORM.S.DIST(B8,TRUE))</f>
        <v>5.2565563013473593E-10</v>
      </c>
    </row>
    <row r="10" spans="1:7" x14ac:dyDescent="0.3">
      <c r="A10" t="s">
        <v>12</v>
      </c>
      <c r="B10" t="str">
        <f xml:space="preserve"> IF(B9 &lt;= G2, "REJECT H0 (B is better)", "FAIL TO REJECT H0 (No conclusive improvement)")</f>
        <v>REJECT H0 (B is better)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E94D1-997F-4EFB-BB66-70C85C228591}">
  <dimension ref="A1:G13"/>
  <sheetViews>
    <sheetView workbookViewId="0">
      <selection activeCell="B8" sqref="A1:XFD1048576"/>
    </sheetView>
  </sheetViews>
  <sheetFormatPr defaultRowHeight="14.4" x14ac:dyDescent="0.3"/>
  <cols>
    <col min="1" max="1" width="19.77734375" bestFit="1" customWidth="1"/>
    <col min="2" max="2" width="23.109375" bestFit="1" customWidth="1"/>
    <col min="7" max="7" width="15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7</v>
      </c>
      <c r="G1" t="s">
        <v>6</v>
      </c>
    </row>
    <row r="2" spans="1:7" x14ac:dyDescent="0.3">
      <c r="A2" t="s">
        <v>3</v>
      </c>
      <c r="B2">
        <v>200</v>
      </c>
      <c r="C2">
        <v>200</v>
      </c>
      <c r="D2">
        <f>B2+C2</f>
        <v>400</v>
      </c>
      <c r="G2">
        <v>0.05</v>
      </c>
    </row>
    <row r="3" spans="1:7" x14ac:dyDescent="0.3">
      <c r="A3" t="s">
        <v>14</v>
      </c>
      <c r="B3">
        <v>10</v>
      </c>
      <c r="C3">
        <v>11.5</v>
      </c>
      <c r="D3">
        <f>B3+C3</f>
        <v>21.5</v>
      </c>
    </row>
    <row r="4" spans="1:7" x14ac:dyDescent="0.3">
      <c r="A4" t="s">
        <v>15</v>
      </c>
      <c r="B4">
        <v>3</v>
      </c>
      <c r="C4">
        <v>5</v>
      </c>
    </row>
    <row r="5" spans="1:7" x14ac:dyDescent="0.3">
      <c r="A5" t="s">
        <v>5</v>
      </c>
      <c r="B5" s="1">
        <f>B3/B2</f>
        <v>0.05</v>
      </c>
      <c r="C5" s="1">
        <f>C3/C2</f>
        <v>5.7500000000000002E-2</v>
      </c>
      <c r="D5" s="1">
        <f>D3/D2</f>
        <v>5.3749999999999999E-2</v>
      </c>
    </row>
    <row r="7" spans="1:7" x14ac:dyDescent="0.3">
      <c r="A7" t="s">
        <v>8</v>
      </c>
      <c r="B7" s="4">
        <f>C3-B3</f>
        <v>1.5</v>
      </c>
    </row>
    <row r="8" spans="1:7" x14ac:dyDescent="0.3">
      <c r="A8" t="s">
        <v>17</v>
      </c>
      <c r="B8" s="2">
        <f>(B4^2/B2)+(C4^2/C2)</f>
        <v>0.16999999999999998</v>
      </c>
    </row>
    <row r="9" spans="1:7" x14ac:dyDescent="0.3">
      <c r="A9" t="s">
        <v>18</v>
      </c>
      <c r="B9" s="2">
        <f>SQRT(B8)</f>
        <v>0.41231056256176601</v>
      </c>
    </row>
    <row r="10" spans="1:7" x14ac:dyDescent="0.3">
      <c r="A10" t="s">
        <v>16</v>
      </c>
      <c r="B10" s="4">
        <f>B7/B9</f>
        <v>3.6380343755449949</v>
      </c>
    </row>
    <row r="11" spans="1:7" x14ac:dyDescent="0.3">
      <c r="A11" t="s">
        <v>19</v>
      </c>
      <c r="B11" s="4">
        <f>(B2+C2)-2</f>
        <v>398</v>
      </c>
    </row>
    <row r="12" spans="1:7" x14ac:dyDescent="0.3">
      <c r="A12" t="s">
        <v>13</v>
      </c>
      <c r="B12">
        <f>_xlfn.T.DIST.RT(B10,B11)</f>
        <v>1.5543921642705588E-4</v>
      </c>
    </row>
    <row r="13" spans="1:7" x14ac:dyDescent="0.3">
      <c r="A13" t="s">
        <v>12</v>
      </c>
      <c r="B13" t="str">
        <f xml:space="preserve"> IF(B12 &lt;= G2, "REJECT H0 (B is better)", "FAIL TO REJECT H0 (No conclusive improvement)")</f>
        <v>REJECT H0 (B is better)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Two-Tailed</vt:lpstr>
      <vt:lpstr>One-Tailed</vt:lpstr>
      <vt:lpstr>T-Test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Geddy Keeble</dc:creator>
  <cp:lastModifiedBy>Geddy Keeble</cp:lastModifiedBy>
  <dcterms:created xsi:type="dcterms:W3CDTF">2025-12-09T19:47:25Z</dcterms:created>
  <dcterms:modified xsi:type="dcterms:W3CDTF">2025-12-09T21:59:18Z</dcterms:modified>
</cp:coreProperties>
</file>